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mps_Table" sheetId="2" state="visible" r:id="rId4"/>
    <sheet name="Statistics" sheetId="3" state="visible" r:id="rId5"/>
    <sheet name="Implied_Valuation" sheetId="4" state="visible" r:id="rId6"/>
    <sheet name="Quality_Screen" sheetId="5" state="visible" r:id="rId7"/>
    <sheet name="Premium_Discou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<sst xmlns="http://schemas.openxmlformats.org/spreadsheetml/2006/main" count="308" uniqueCount="203">
  <si>
    <t xml:space="preserve">GBENGA QUADRI</t>
  </si>
  <si>
    <t xml:space="preserve">CFA Candidate  |  Equity Research &amp; Valuation</t>
  </si>
  <si>
    <t xml:space="preserve">KESKO CORPORATION</t>
  </si>
  <si>
    <t xml:space="preserve">Comparable Company Analysis (Trading Comps)</t>
  </si>
  <si>
    <t xml:space="preserve">OMX Helsinki: KESKOB  |  EUR 8.0B Market Cap  |  12 Public Peers</t>
  </si>
  <si>
    <t xml:space="preserve">Model Architecture (6 Sheets):</t>
  </si>
  <si>
    <t xml:space="preserve">1. Cover — Overview and peer group rationale</t>
  </si>
  <si>
    <t xml:space="preserve">2. Comps Table — Full peer data with 8 trading multiples</t>
  </si>
  <si>
    <t xml:space="preserve">3. Statistical Summary — Percentiles, mean, median</t>
  </si>
  <si>
    <t xml:space="preserve">4. Implied Valuation — Kesko value at peer multiples</t>
  </si>
  <si>
    <t xml:space="preserve">5. Quality Screen — Tier ranking by comparability</t>
  </si>
  <si>
    <t xml:space="preserve">6. Premium/Discount — Justification for Kesko positioning</t>
  </si>
  <si>
    <t xml:space="preserve">Peer Universe: 12 publicly traded European retail/grocery companies spanning</t>
  </si>
  <si>
    <t xml:space="preserve">Nordic grocery (Axfood, ICA, Tokmanni), large-cap European grocery (Ahold Delhaize,</t>
  </si>
  <si>
    <t xml:space="preserve">Tesco, Carrefour, Jeronimo Martins, Sainsbury), and diversified retail/building</t>
  </si>
  <si>
    <t xml:space="preserve">(Colruyt, B&amp;M European, Hornbach, Kingfisher).</t>
  </si>
  <si>
    <t xml:space="preserve">CFI Standard: Blue = Inputs | Black = Formulas | Green = Cross-sheet | Yellow = Key assumptions</t>
  </si>
  <si>
    <t xml:space="preserve">All figures in EUR millions unless stated. Multiples on LTM/FY2025 basis.</t>
  </si>
  <si>
    <t xml:space="preserve">PREPARED BY: GBENGA QUADRI CFA CANDIDATE</t>
  </si>
  <si>
    <t xml:space="preserve">March 2026</t>
  </si>
  <si>
    <t xml:space="preserve">KESKO CORPORATION — COMPARABLE COMPANY ANALYSIS</t>
  </si>
  <si>
    <t xml:space="preserve">GBENGA QUADRI CFA CANDIDATE</t>
  </si>
  <si>
    <t xml:space="preserve">All figures in EUR M unless stated. Prices as of March 2026.</t>
  </si>
  <si>
    <t xml:space="preserve">Company</t>
  </si>
  <si>
    <t xml:space="preserve">Ticker</t>
  </si>
  <si>
    <t xml:space="preserve">Country</t>
  </si>
  <si>
    <t xml:space="preserve">Mkt Cap
(EUR B)</t>
  </si>
  <si>
    <t xml:space="preserve">EV
(EUR B)</t>
  </si>
  <si>
    <t xml:space="preserve">Revenue
(EUR M)</t>
  </si>
  <si>
    <t xml:space="preserve">EBITDA
(EUR M)</t>
  </si>
  <si>
    <t xml:space="preserve">EBIT
(EUR M)</t>
  </si>
  <si>
    <t xml:space="preserve">Rev
Growth</t>
  </si>
  <si>
    <t xml:space="preserve">EBITDA
Margin</t>
  </si>
  <si>
    <t xml:space="preserve">EBIT
Margin</t>
  </si>
  <si>
    <t xml:space="preserve">Net
Margin</t>
  </si>
  <si>
    <t xml:space="preserve">ND/
EBITDA</t>
  </si>
  <si>
    <t xml:space="preserve">Div
Yield</t>
  </si>
  <si>
    <t xml:space="preserve">EV/
Rev</t>
  </si>
  <si>
    <t xml:space="preserve">EV/
EBITDA</t>
  </si>
  <si>
    <t xml:space="preserve">EV/
EBIT</t>
  </si>
  <si>
    <t xml:space="preserve">P/E</t>
  </si>
  <si>
    <t xml:space="preserve">Kesko Corporation</t>
  </si>
  <si>
    <t xml:space="preserve">KESKOB</t>
  </si>
  <si>
    <t xml:space="preserve">Grocery/Bldg/Auto</t>
  </si>
  <si>
    <t xml:space="preserve">Axfood AB</t>
  </si>
  <si>
    <t xml:space="preserve">AXFOOD</t>
  </si>
  <si>
    <t xml:space="preserve">Grocery</t>
  </si>
  <si>
    <t xml:space="preserve">ICA Gruppen AB</t>
  </si>
  <si>
    <t xml:space="preserve">ICA</t>
  </si>
  <si>
    <t xml:space="preserve">Grocery/Retail</t>
  </si>
  <si>
    <t xml:space="preserve">Tokmanni Group</t>
  </si>
  <si>
    <t xml:space="preserve">TOKMAN</t>
  </si>
  <si>
    <t xml:space="preserve">Discount Retail</t>
  </si>
  <si>
    <t xml:space="preserve">Ahold Delhaize</t>
  </si>
  <si>
    <t xml:space="preserve">AD</t>
  </si>
  <si>
    <t xml:space="preserve">Tesco PLC</t>
  </si>
  <si>
    <t xml:space="preserve">TSCO</t>
  </si>
  <si>
    <t xml:space="preserve">Carrefour SA</t>
  </si>
  <si>
    <t xml:space="preserve">CA</t>
  </si>
  <si>
    <t xml:space="preserve">Grocery/Hyper</t>
  </si>
  <si>
    <t xml:space="preserve">Jeronimo Martins</t>
  </si>
  <si>
    <t xml:space="preserve">JMART</t>
  </si>
  <si>
    <t xml:space="preserve">Grocery (Poland)</t>
  </si>
  <si>
    <t xml:space="preserve">J Sainsbury PLC</t>
  </si>
  <si>
    <t xml:space="preserve">SBRY</t>
  </si>
  <si>
    <t xml:space="preserve">Colruyt Group</t>
  </si>
  <si>
    <t xml:space="preserve">COLR</t>
  </si>
  <si>
    <t xml:space="preserve">Grocery/Discount</t>
  </si>
  <si>
    <t xml:space="preserve">B&amp;M European</t>
  </si>
  <si>
    <t xml:space="preserve">BME</t>
  </si>
  <si>
    <t xml:space="preserve">Hornbach Holding</t>
  </si>
  <si>
    <t xml:space="preserve">HEGR</t>
  </si>
  <si>
    <t xml:space="preserve">Building/DIY</t>
  </si>
  <si>
    <t xml:space="preserve">Kingfisher PLC</t>
  </si>
  <si>
    <t xml:space="preserve">KGF</t>
  </si>
  <si>
    <t xml:space="preserve">STATISTICAL SUMMARY (PEERS ONLY)</t>
  </si>
  <si>
    <t xml:space="preserve">Mean</t>
  </si>
  <si>
    <t xml:space="preserve">Median</t>
  </si>
  <si>
    <t xml:space="preserve">25th Percentile</t>
  </si>
  <si>
    <t xml:space="preserve">75th Percentile</t>
  </si>
  <si>
    <t xml:space="preserve">Min</t>
  </si>
  <si>
    <t xml:space="preserve">Max</t>
  </si>
  <si>
    <t xml:space="preserve">Kesko vs. Median</t>
  </si>
  <si>
    <t xml:space="preserve">Model follows CFI Financial Modeling Best Practices &amp; Financial Modeling Guidelines</t>
  </si>
  <si>
    <t xml:space="preserve">GBENGA QUADRI CFA CANDIDATE  |  March 2026</t>
  </si>
  <si>
    <t xml:space="preserve">PEER MULTIPLE DISTRIBUTION</t>
  </si>
  <si>
    <t xml:space="preserve">Statistic</t>
  </si>
  <si>
    <t xml:space="preserve">EV /
Revenue</t>
  </si>
  <si>
    <t xml:space="preserve">EV /
EBITDA</t>
  </si>
  <si>
    <t xml:space="preserve">EV /
EBIT</t>
  </si>
  <si>
    <t xml:space="preserve">P / E</t>
  </si>
  <si>
    <t xml:space="preserve">KESKO POSITIONING</t>
  </si>
  <si>
    <t xml:space="preserve">Kesko Current</t>
  </si>
  <si>
    <t xml:space="preserve">Premium/(Discount) to Median</t>
  </si>
  <si>
    <t xml:space="preserve">Kesko Percentile Rank</t>
  </si>
  <si>
    <t xml:space="preserve">IMPLIED VALUATION FOR KESKO</t>
  </si>
  <si>
    <t xml:space="preserve">Unit</t>
  </si>
  <si>
    <t xml:space="preserve">25th Pctl</t>
  </si>
  <si>
    <t xml:space="preserve">75th Pctl</t>
  </si>
  <si>
    <t xml:space="preserve">Kesko
Actual</t>
  </si>
  <si>
    <t xml:space="preserve">EV / EBITDA IMPLIED</t>
  </si>
  <si>
    <t xml:space="preserve">Peer Multiple</t>
  </si>
  <si>
    <t xml:space="preserve">x</t>
  </si>
  <si>
    <t xml:space="preserve">Kesko FY2025 EBITDA</t>
  </si>
  <si>
    <t xml:space="preserve">EUR M</t>
  </si>
  <si>
    <t xml:space="preserve">Implied Enterprise Value</t>
  </si>
  <si>
    <t xml:space="preserve">(-) Net Debt + Leases</t>
  </si>
  <si>
    <t xml:space="preserve">Implied Equity Value</t>
  </si>
  <si>
    <t xml:space="preserve">Shares Outstanding</t>
  </si>
  <si>
    <t xml:space="preserve">Implied Price/Share</t>
  </si>
  <si>
    <t xml:space="preserve">Upside / (Downside)</t>
  </si>
  <si>
    <t xml:space="preserve">P / E IMPLIED</t>
  </si>
  <si>
    <t xml:space="preserve">Kesko FY2025 EPS</t>
  </si>
  <si>
    <t xml:space="preserve">EUR</t>
  </si>
  <si>
    <t xml:space="preserve">EV / REVENUE IMPLIED</t>
  </si>
  <si>
    <t xml:space="preserve">Kesko FY2025 Revenue</t>
  </si>
  <si>
    <t xml:space="preserve">VALUATION RANGE SUMMARY</t>
  </si>
  <si>
    <t xml:space="preserve">Method</t>
  </si>
  <si>
    <t xml:space="preserve">Low
(25th)</t>
  </si>
  <si>
    <t xml:space="preserve">Mid
(Median)</t>
  </si>
  <si>
    <t xml:space="preserve">High
(75th)</t>
  </si>
  <si>
    <t xml:space="preserve">EV/EBITDA</t>
  </si>
  <si>
    <t xml:space="preserve">EV/Revenue</t>
  </si>
  <si>
    <t xml:space="preserve">Current Price</t>
  </si>
  <si>
    <t xml:space="preserve">PEER QUALITY / COMPARABILITY SCREEN</t>
  </si>
  <si>
    <t xml:space="preserve">Tier</t>
  </si>
  <si>
    <t xml:space="preserve">Geography
Match</t>
  </si>
  <si>
    <t xml:space="preserve">Segment
Match</t>
  </si>
  <si>
    <t xml:space="preserve">Size
Match</t>
  </si>
  <si>
    <t xml:space="preserve">Margin
Match</t>
  </si>
  <si>
    <t xml:space="preserve">Rationale</t>
  </si>
  <si>
    <t xml:space="preserve">Tier 1</t>
  </si>
  <si>
    <t xml:space="preserve">High</t>
  </si>
  <si>
    <t xml:space="preserve">Med</t>
  </si>
  <si>
    <t xml:space="preserve">Nordic grocery leader; closest geographic/segment match. Pure grocery.</t>
  </si>
  <si>
    <t xml:space="preserve">Swedish grocery/retail; similar scale, franchise model, Nordic focus.</t>
  </si>
  <si>
    <t xml:space="preserve">Tier 2</t>
  </si>
  <si>
    <t xml:space="preserve">Low</t>
  </si>
  <si>
    <t xml:space="preserve">Finnish discount retail; same consumer base, different positioning.</t>
  </si>
  <si>
    <t xml:space="preserve">Global grocery; US-heavy (60%), but strong European comps operations.</t>
  </si>
  <si>
    <t xml:space="preserve">UK grocery leader; mature market, strong FCF, comparable margins.</t>
  </si>
  <si>
    <t xml:space="preserve">Tier 3</t>
  </si>
  <si>
    <t xml:space="preserve">French hypermarket model; lower margins, different format mix.</t>
  </si>
  <si>
    <t xml:space="preserve">Poland-focused (Biedronka); high growth but different market dynamics.</t>
  </si>
  <si>
    <t xml:space="preserve">UK grocery; similar scale, but UK-specific competitive dynamics.</t>
  </si>
  <si>
    <t xml:space="preserve">Belgian grocery/discount; similar margin profile, smaller scale.</t>
  </si>
  <si>
    <t xml:space="preserve">Discount retail (non-food); higher margins but different segment.</t>
  </si>
  <si>
    <t xml:space="preserve">German DIY/building; closest comp for Kesko B&amp;T division.</t>
  </si>
  <si>
    <t xml:space="preserve">European DIY (B&amp;Q, Castorama); building segment comparable.</t>
  </si>
  <si>
    <t xml:space="preserve">SCREENING METHODOLOGY</t>
  </si>
  <si>
    <t xml:space="preserve">Tier 1: Highest comparability — same region, same segments, similar scale</t>
  </si>
  <si>
    <t xml:space="preserve">Tier 2: Moderate — same industry, different geography or scale mismatch</t>
  </si>
  <si>
    <t xml:space="preserve">Tier 3: Supplementary — related segments, provides market context</t>
  </si>
  <si>
    <t xml:space="preserve">Recommendation: Weight Tier 1 peers most heavily in valuation; use Tier 2-3 for range</t>
  </si>
  <si>
    <t xml:space="preserve">PREMIUM / DISCOUNT JUSTIFICATION</t>
  </si>
  <si>
    <t xml:space="preserve">Factor</t>
  </si>
  <si>
    <t xml:space="preserve">Kesko</t>
  </si>
  <si>
    <t xml:space="preserve">Peer
Median</t>
  </si>
  <si>
    <t xml:space="preserve">Assessment</t>
  </si>
  <si>
    <t xml:space="preserve">EBITDA Margin</t>
  </si>
  <si>
    <t xml:space="preserve">9.1%</t>
  </si>
  <si>
    <t xml:space="preserve">7.2% (implied)</t>
  </si>
  <si>
    <t xml:space="preserve">PREMIUM: Superior margin vs. 7.1% peer median</t>
  </si>
  <si>
    <t xml:space="preserve">Revenue Growth (LTM)</t>
  </si>
  <si>
    <t xml:space="preserve">4.7%</t>
  </si>
  <si>
    <t xml:space="preserve">2.5%</t>
  </si>
  <si>
    <t xml:space="preserve">PREMIUM: Above-median growth driven by M&amp;A + organic</t>
  </si>
  <si>
    <t xml:space="preserve">Net Debt / EBITDA</t>
  </si>
  <si>
    <t xml:space="preserve">0.8x</t>
  </si>
  <si>
    <t xml:space="preserve">1.5x</t>
  </si>
  <si>
    <t xml:space="preserve">PREMIUM: Lowest leverage in peer group; IG-rated</t>
  </si>
  <si>
    <t xml:space="preserve">Dividend Yield</t>
  </si>
  <si>
    <t xml:space="preserve">4.5%</t>
  </si>
  <si>
    <t xml:space="preserve">3.5%</t>
  </si>
  <si>
    <t xml:space="preserve">PREMIUM: Above-median yield, quarterly payments, 30+ yr history</t>
  </si>
  <si>
    <t xml:space="preserve">Market Position</t>
  </si>
  <si>
    <t xml:space="preserve">#1-2 Finland</t>
  </si>
  <si>
    <t xml:space="preserve">Varies</t>
  </si>
  <si>
    <t xml:space="preserve">PREMIUM: Dominant position in all Finnish segments</t>
  </si>
  <si>
    <t xml:space="preserve">Business Diversification</t>
  </si>
  <si>
    <t xml:space="preserve">3 divisions</t>
  </si>
  <si>
    <t xml:space="preserve">1-2 segments</t>
  </si>
  <si>
    <t xml:space="preserve">PREMIUM: Grocery + Building + Car Trade reduces volatility</t>
  </si>
  <si>
    <t xml:space="preserve">Geographic Concentration</t>
  </si>
  <si>
    <t xml:space="preserve">60% Finland</t>
  </si>
  <si>
    <t xml:space="preserve">Multi-country</t>
  </si>
  <si>
    <t xml:space="preserve">DISCOUNT: Single-country risk despite Nordic expansion</t>
  </si>
  <si>
    <t xml:space="preserve">Building Trade Cyclicality</t>
  </si>
  <si>
    <t xml:space="preserve">Cyclical (36% rev)</t>
  </si>
  <si>
    <t xml:space="preserve">Low/None</t>
  </si>
  <si>
    <t xml:space="preserve">DISCOUNT: Construction downturn risk (B&amp;T at trough margins)</t>
  </si>
  <si>
    <t xml:space="preserve">Float / Liquidity</t>
  </si>
  <si>
    <t xml:space="preserve">EUR 8B cap</t>
  </si>
  <si>
    <t xml:space="preserve">EUR 13B median</t>
  </si>
  <si>
    <t xml:space="preserve">DISCOUNT: Below-median liquidity for international investors</t>
  </si>
  <si>
    <t xml:space="preserve">Goodwill Risk</t>
  </si>
  <si>
    <t xml:space="preserve">EUR 1.55B (19% TA)</t>
  </si>
  <si>
    <t xml:space="preserve">NEUTRAL: EUR 40M Byggmakker write-down in 2024 a concern</t>
  </si>
  <si>
    <t xml:space="preserve">NET ASSESSMENT</t>
  </si>
  <si>
    <t xml:space="preserve">Premium Factors: 6   |   Discount Factors: 3   |   Neutral: 1</t>
  </si>
  <si>
    <t xml:space="preserve">Conclusion: Kesko warrants a MODEST PREMIUM to peer median multiples</t>
  </si>
  <si>
    <t xml:space="preserve">Recommended: Apply peer median + 10-15% premium for implied valuation</t>
  </si>
  <si>
    <t xml:space="preserve">This is consistent with Kesko trading at 10.1x EV/EBITDA vs. 7.7x peer median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</si>
</sst>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#,##0;\(#,##0\);\-"/>
    <numFmt numFmtId="167" formatCode="0.0%;\(0.0%\);\-"/>
    <numFmt numFmtId="168" formatCode="0.0\x"/>
    <numFmt numFmtId="169" formatCode="\+0.0\x;\-0.0\x;\-"/>
    <numFmt numFmtId="170" formatCode="\+0.0%;\-0.0%;\-"/>
    <numFmt numFmtId="171" formatCode="0%&quot;ile&quot;"/>
    <numFmt numFmtId="172" formatCode="0"/>
    <numFmt numFmtId="173" formatCode="#,##0.00;\(#,##0.0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B8CCE4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.5"/>
      <color rgb="FF333333"/>
      <name val="Arial"/>
      <family val="0"/>
      <charset val="1"/>
    </font>
    <font>
      <sz val="9"/>
      <color rgb="FF000000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7"/>
      <color rgb="FF99999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6600"/>
      <name val="Arial"/>
      <family val="0"/>
      <charset val="1"/>
    </font>
    <font>
      <b val="true"/>
      <sz val="9"/>
      <color rgb="FF9966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sz val="8"/>
      <color rgb="FF006600"/>
      <name val="Arial"/>
      <family val="0"/>
      <charset val="1"/>
    </font>
    <font>
      <sz val="8"/>
      <color rgb="FFCC0000"/>
      <name val="Arial"/>
      <family val="0"/>
      <charset val="1"/>
    </font>
    <font>
      <sz val="8"/>
      <color rgb="FF99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0FE"/>
        <bgColor rgb="FFF5F5F5"/>
      </patternFill>
    </fill>
    <fill>
      <patternFill patternType="solid">
        <fgColor rgb="FFF5F5F5"/>
        <bgColor rgb="FFE8F0FE"/>
      </patternFill>
    </fill>
    <fill>
      <patternFill patternType="solid">
        <fgColor rgb="FFFFF2CC"/>
        <bgColor rgb="FFF5F5F5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8F0FE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7030A0"/>
      <rgbColor rgb="FFFFF2CC"/>
      <rgbColor rgb="FFE8F0FE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E4F0"/>
      <rgbColor rgb="FFE2EFDA"/>
      <rgbColor rgb="FFF5F5F5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999999"/>
      <rgbColor rgb="FF003366"/>
      <rgbColor rgb="FF70AD47"/>
      <rgbColor rgb="FF0066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4.45" hidden="false" customHeight="fals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3" t="s">
        <v>1</v>
      </c>
      <c r="C3" s="1"/>
      <c r="D3" s="1"/>
    </row>
    <row r="5" customFormat="false" ht="17.3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6" t="s">
        <v>4</v>
      </c>
    </row>
    <row r="9" customFormat="false" ht="15" hidden="false" customHeight="false" outlineLevel="0" collapsed="false">
      <c r="B9" s="7" t="s">
        <v>5</v>
      </c>
    </row>
    <row r="10" customFormat="false" ht="15" hidden="false" customHeight="false" outlineLevel="0" collapsed="false">
      <c r="B10" s="8" t="s">
        <v>6</v>
      </c>
    </row>
    <row r="11" customFormat="false" ht="15" hidden="false" customHeight="false" outlineLevel="0" collapsed="false">
      <c r="B11" s="8" t="s">
        <v>7</v>
      </c>
    </row>
    <row r="12" customFormat="false" ht="15" hidden="false" customHeight="false" outlineLevel="0" collapsed="false">
      <c r="B12" s="8" t="s">
        <v>8</v>
      </c>
    </row>
    <row r="13" customFormat="false" ht="15" hidden="false" customHeight="false" outlineLevel="0" collapsed="false">
      <c r="B13" s="8" t="s">
        <v>9</v>
      </c>
    </row>
    <row r="14" customFormat="false" ht="15" hidden="false" customHeight="false" outlineLevel="0" collapsed="false">
      <c r="B14" s="8" t="s">
        <v>10</v>
      </c>
    </row>
    <row r="15" customFormat="false" ht="15" hidden="false" customHeight="false" outlineLevel="0" collapsed="false">
      <c r="B15" s="8" t="s">
        <v>11</v>
      </c>
    </row>
    <row r="18" customFormat="false" ht="15" hidden="false" customHeight="false" outlineLevel="0" collapsed="false">
      <c r="B18" s="9" t="s">
        <v>12</v>
      </c>
    </row>
    <row r="19" customFormat="false" ht="15" hidden="false" customHeight="false" outlineLevel="0" collapsed="false">
      <c r="B19" s="9" t="s">
        <v>13</v>
      </c>
    </row>
    <row r="20" customFormat="false" ht="15" hidden="false" customHeight="false" outlineLevel="0" collapsed="false">
      <c r="B20" s="9" t="s">
        <v>14</v>
      </c>
    </row>
    <row r="21" customFormat="false" ht="15" hidden="false" customHeight="false" outlineLevel="0" collapsed="false">
      <c r="B21" s="9" t="s">
        <v>15</v>
      </c>
    </row>
    <row r="23" customFormat="false" ht="15" hidden="false" customHeight="false" outlineLevel="0" collapsed="false">
      <c r="B23" s="10" t="s">
        <v>16</v>
      </c>
    </row>
    <row r="24" customFormat="false" ht="15" hidden="false" customHeight="false" outlineLevel="0" collapsed="false">
      <c r="B24" s="10" t="s">
        <v>17</v>
      </c>
    </row>
    <row r="26" customFormat="false" ht="16.15" hidden="false" customHeight="false" outlineLevel="0" collapsed="false">
      <c r="B26" s="11" t="s">
        <v>18</v>
      </c>
    </row>
    <row r="27" customFormat="false" ht="15" hidden="false" customHeight="false" outlineLevel="0" collapsed="false">
      <c r="B27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8" min="6" style="0" width="8"/>
    <col collapsed="false" customWidth="true" hidden="false" outlineLevel="0" max="14" min="9" style="0" width="7"/>
    <col collapsed="false" customWidth="true" hidden="false" outlineLevel="0" max="18" min="15" style="0" width="8"/>
  </cols>
  <sheetData>
    <row r="1" customFormat="false" ht="17.35" hidden="false" customHeight="false" outlineLevel="0" collapsed="false">
      <c r="A1" s="4" t="s">
        <v>20</v>
      </c>
    </row>
    <row r="2" customFormat="false" ht="15" hidden="false" customHeight="false" outlineLevel="0" collapsed="false">
      <c r="A2" s="13" t="s">
        <v>21</v>
      </c>
      <c r="H2" s="12" t="s">
        <v>22</v>
      </c>
    </row>
    <row r="4" customFormat="false" ht="31.5" hidden="false" customHeight="true" outlineLevel="0" collapsed="false">
      <c r="A4" s="14" t="s">
        <v>23</v>
      </c>
      <c r="B4" s="15" t="s">
        <v>24</v>
      </c>
      <c r="C4" s="15" t="s">
        <v>25</v>
      </c>
      <c r="D4" s="15" t="s">
        <v>26</v>
      </c>
      <c r="E4" s="15" t="s">
        <v>27</v>
      </c>
      <c r="F4" s="15" t="s">
        <v>28</v>
      </c>
      <c r="G4" s="15" t="s">
        <v>29</v>
      </c>
      <c r="H4" s="15" t="s">
        <v>30</v>
      </c>
      <c r="I4" s="15" t="s">
        <v>31</v>
      </c>
      <c r="J4" s="15" t="s">
        <v>32</v>
      </c>
      <c r="K4" s="15" t="s">
        <v>33</v>
      </c>
      <c r="L4" s="15" t="s">
        <v>34</v>
      </c>
      <c r="M4" s="15" t="s">
        <v>35</v>
      </c>
      <c r="N4" s="15" t="s">
        <v>36</v>
      </c>
      <c r="O4" s="15" t="s">
        <v>37</v>
      </c>
      <c r="P4" s="15" t="s">
        <v>38</v>
      </c>
      <c r="Q4" s="15" t="s">
        <v>39</v>
      </c>
      <c r="R4" s="15" t="s">
        <v>40</v>
      </c>
    </row>
    <row r="5" customFormat="false" ht="15" hidden="false" customHeight="false" outlineLevel="0" collapsed="false">
      <c r="A5" s="16" t="s">
        <v>41</v>
      </c>
      <c r="B5" s="17" t="s">
        <v>42</v>
      </c>
      <c r="C5" s="17" t="s">
        <v>43</v>
      </c>
      <c r="D5" s="18" t="n">
        <v>8</v>
      </c>
      <c r="E5" s="18" t="n">
        <v>11.5</v>
      </c>
      <c r="F5" s="19" t="n">
        <v>12475</v>
      </c>
      <c r="G5" s="19" t="n">
        <v>1135</v>
      </c>
      <c r="H5" s="19" t="n">
        <v>655</v>
      </c>
      <c r="I5" s="20" t="n">
        <v>0.047</v>
      </c>
      <c r="J5" s="20" t="n">
        <v>0.091</v>
      </c>
      <c r="K5" s="20" t="n">
        <v>0.052</v>
      </c>
      <c r="L5" s="20" t="n">
        <v>0.035</v>
      </c>
      <c r="M5" s="21" t="n">
        <v>0.8</v>
      </c>
      <c r="N5" s="20" t="n">
        <v>0.045</v>
      </c>
      <c r="O5" s="21" t="n">
        <v>0.92</v>
      </c>
      <c r="P5" s="21" t="n">
        <v>10.1</v>
      </c>
      <c r="Q5" s="21" t="n">
        <v>17.6</v>
      </c>
      <c r="R5" s="21" t="n">
        <v>18.5</v>
      </c>
    </row>
    <row r="6" customFormat="false" ht="15" hidden="false" customHeight="false" outlineLevel="0" collapsed="false">
      <c r="A6" s="22" t="s">
        <v>44</v>
      </c>
      <c r="B6" s="23" t="s">
        <v>45</v>
      </c>
      <c r="C6" s="23" t="s">
        <v>46</v>
      </c>
      <c r="D6" s="24" t="n">
        <v>5.8</v>
      </c>
      <c r="E6" s="24" t="n">
        <v>7.2</v>
      </c>
      <c r="F6" s="25" t="n">
        <v>7800</v>
      </c>
      <c r="G6" s="25" t="n">
        <v>580</v>
      </c>
      <c r="H6" s="25" t="n">
        <v>420</v>
      </c>
      <c r="I6" s="26" t="n">
        <v>0.035</v>
      </c>
      <c r="J6" s="26" t="n">
        <v>0.074</v>
      </c>
      <c r="K6" s="26" t="n">
        <v>0.054</v>
      </c>
      <c r="L6" s="26" t="n">
        <v>0.04</v>
      </c>
      <c r="M6" s="27" t="n">
        <v>0.8</v>
      </c>
      <c r="N6" s="26" t="n">
        <v>0.026</v>
      </c>
      <c r="O6" s="27" t="n">
        <v>0.92</v>
      </c>
      <c r="P6" s="27" t="n">
        <v>12.4</v>
      </c>
      <c r="Q6" s="27" t="n">
        <v>17.1</v>
      </c>
      <c r="R6" s="27" t="n">
        <v>18.7</v>
      </c>
    </row>
    <row r="7" customFormat="false" ht="15" hidden="false" customHeight="false" outlineLevel="0" collapsed="false">
      <c r="A7" s="9" t="s">
        <v>47</v>
      </c>
      <c r="B7" s="12" t="s">
        <v>48</v>
      </c>
      <c r="C7" s="12" t="s">
        <v>49</v>
      </c>
      <c r="D7" s="28" t="n">
        <v>9.2</v>
      </c>
      <c r="E7" s="28" t="n">
        <v>13</v>
      </c>
      <c r="F7" s="29" t="n">
        <v>14200</v>
      </c>
      <c r="G7" s="29" t="n">
        <v>920</v>
      </c>
      <c r="H7" s="29" t="n">
        <v>580</v>
      </c>
      <c r="I7" s="30" t="n">
        <v>0.028</v>
      </c>
      <c r="J7" s="30" t="n">
        <v>0.065</v>
      </c>
      <c r="K7" s="30" t="n">
        <v>0.041</v>
      </c>
      <c r="L7" s="30" t="n">
        <v>0.03</v>
      </c>
      <c r="M7" s="31" t="n">
        <v>1.5</v>
      </c>
      <c r="N7" s="30" t="n">
        <v>0.03</v>
      </c>
      <c r="O7" s="31" t="n">
        <v>0.92</v>
      </c>
      <c r="P7" s="31" t="n">
        <v>14.1</v>
      </c>
      <c r="Q7" s="31" t="n">
        <v>22.4</v>
      </c>
      <c r="R7" s="31" t="n">
        <v>21.9</v>
      </c>
    </row>
    <row r="8" customFormat="false" ht="15" hidden="false" customHeight="false" outlineLevel="0" collapsed="false">
      <c r="A8" s="22" t="s">
        <v>50</v>
      </c>
      <c r="B8" s="23" t="s">
        <v>51</v>
      </c>
      <c r="C8" s="23" t="s">
        <v>52</v>
      </c>
      <c r="D8" s="24" t="n">
        <v>0.5</v>
      </c>
      <c r="E8" s="24" t="n">
        <v>1.4</v>
      </c>
      <c r="F8" s="25" t="n">
        <v>1730</v>
      </c>
      <c r="G8" s="25" t="n">
        <v>195</v>
      </c>
      <c r="H8" s="25" t="n">
        <v>85</v>
      </c>
      <c r="I8" s="26" t="n">
        <v>0.04</v>
      </c>
      <c r="J8" s="26" t="n">
        <v>0.113</v>
      </c>
      <c r="K8" s="26" t="n">
        <v>0.049</v>
      </c>
      <c r="L8" s="26" t="n">
        <v>0.02</v>
      </c>
      <c r="M8" s="27" t="n">
        <v>4.7</v>
      </c>
      <c r="N8" s="26" t="n">
        <v>0.039</v>
      </c>
      <c r="O8" s="27" t="n">
        <v>0.81</v>
      </c>
      <c r="P8" s="27" t="n">
        <v>7.2</v>
      </c>
      <c r="Q8" s="27" t="n">
        <v>16.5</v>
      </c>
      <c r="R8" s="27" t="n">
        <v>14.3</v>
      </c>
    </row>
    <row r="9" customFormat="false" ht="15" hidden="false" customHeight="false" outlineLevel="0" collapsed="false">
      <c r="A9" s="9" t="s">
        <v>53</v>
      </c>
      <c r="B9" s="12" t="s">
        <v>54</v>
      </c>
      <c r="C9" s="12" t="s">
        <v>46</v>
      </c>
      <c r="D9" s="28" t="n">
        <v>34</v>
      </c>
      <c r="E9" s="28" t="n">
        <v>46</v>
      </c>
      <c r="F9" s="29" t="n">
        <v>89000</v>
      </c>
      <c r="G9" s="29" t="n">
        <v>7200</v>
      </c>
      <c r="H9" s="29" t="n">
        <v>4200</v>
      </c>
      <c r="I9" s="30" t="n">
        <v>0.018</v>
      </c>
      <c r="J9" s="30" t="n">
        <v>0.081</v>
      </c>
      <c r="K9" s="30" t="n">
        <v>0.047</v>
      </c>
      <c r="L9" s="30" t="n">
        <v>0.028</v>
      </c>
      <c r="M9" s="31" t="n">
        <v>1.7</v>
      </c>
      <c r="N9" s="30" t="n">
        <v>0.038</v>
      </c>
      <c r="O9" s="31" t="n">
        <v>0.52</v>
      </c>
      <c r="P9" s="31" t="n">
        <v>6.4</v>
      </c>
      <c r="Q9" s="31" t="n">
        <v>11</v>
      </c>
      <c r="R9" s="31" t="n">
        <v>13.6</v>
      </c>
    </row>
    <row r="10" customFormat="false" ht="15" hidden="false" customHeight="false" outlineLevel="0" collapsed="false">
      <c r="A10" s="22" t="s">
        <v>55</v>
      </c>
      <c r="B10" s="23" t="s">
        <v>56</v>
      </c>
      <c r="C10" s="23" t="s">
        <v>46</v>
      </c>
      <c r="D10" s="24" t="n">
        <v>26</v>
      </c>
      <c r="E10" s="24" t="n">
        <v>40</v>
      </c>
      <c r="F10" s="25" t="n">
        <v>72000</v>
      </c>
      <c r="G10" s="25" t="n">
        <v>5800</v>
      </c>
      <c r="H10" s="25" t="n">
        <v>3200</v>
      </c>
      <c r="I10" s="26" t="n">
        <v>0.032</v>
      </c>
      <c r="J10" s="26" t="n">
        <v>0.081</v>
      </c>
      <c r="K10" s="26" t="n">
        <v>0.044</v>
      </c>
      <c r="L10" s="26" t="n">
        <v>0.029</v>
      </c>
      <c r="M10" s="27" t="n">
        <v>2.4</v>
      </c>
      <c r="N10" s="26" t="n">
        <v>0.035</v>
      </c>
      <c r="O10" s="27" t="n">
        <v>0.56</v>
      </c>
      <c r="P10" s="27" t="n">
        <v>6.9</v>
      </c>
      <c r="Q10" s="27" t="n">
        <v>12.5</v>
      </c>
      <c r="R10" s="27" t="n">
        <v>12.4</v>
      </c>
    </row>
    <row r="11" customFormat="false" ht="15" hidden="false" customHeight="false" outlineLevel="0" collapsed="false">
      <c r="A11" s="9" t="s">
        <v>57</v>
      </c>
      <c r="B11" s="12" t="s">
        <v>58</v>
      </c>
      <c r="C11" s="12" t="s">
        <v>59</v>
      </c>
      <c r="D11" s="28" t="n">
        <v>13.5</v>
      </c>
      <c r="E11" s="28" t="n">
        <v>24</v>
      </c>
      <c r="F11" s="29" t="n">
        <v>84000</v>
      </c>
      <c r="G11" s="29" t="n">
        <v>4500</v>
      </c>
      <c r="H11" s="29" t="n">
        <v>2200</v>
      </c>
      <c r="I11" s="30" t="n">
        <v>0.01</v>
      </c>
      <c r="J11" s="30" t="n">
        <v>0.054</v>
      </c>
      <c r="K11" s="30" t="n">
        <v>0.026</v>
      </c>
      <c r="L11" s="30" t="n">
        <v>0.015</v>
      </c>
      <c r="M11" s="31" t="n">
        <v>2.3</v>
      </c>
      <c r="N11" s="30" t="n">
        <v>0.052</v>
      </c>
      <c r="O11" s="31" t="n">
        <v>0.29</v>
      </c>
      <c r="P11" s="31" t="n">
        <v>5.3</v>
      </c>
      <c r="Q11" s="31" t="n">
        <v>10.9</v>
      </c>
      <c r="R11" s="31" t="n">
        <v>10.4</v>
      </c>
    </row>
    <row r="12" customFormat="false" ht="15" hidden="false" customHeight="false" outlineLevel="0" collapsed="false">
      <c r="A12" s="22" t="s">
        <v>60</v>
      </c>
      <c r="B12" s="23" t="s">
        <v>61</v>
      </c>
      <c r="C12" s="23" t="s">
        <v>62</v>
      </c>
      <c r="D12" s="24" t="n">
        <v>12.8</v>
      </c>
      <c r="E12" s="24" t="n">
        <v>14.5</v>
      </c>
      <c r="F12" s="25" t="n">
        <v>32000</v>
      </c>
      <c r="G12" s="25" t="n">
        <v>2400</v>
      </c>
      <c r="H12" s="25" t="n">
        <v>1500</v>
      </c>
      <c r="I12" s="26" t="n">
        <v>0.085</v>
      </c>
      <c r="J12" s="26" t="n">
        <v>0.075</v>
      </c>
      <c r="K12" s="26" t="n">
        <v>0.047</v>
      </c>
      <c r="L12" s="26" t="n">
        <v>0.027</v>
      </c>
      <c r="M12" s="27" t="n">
        <v>0.7</v>
      </c>
      <c r="N12" s="26" t="n">
        <v>0.032</v>
      </c>
      <c r="O12" s="27" t="n">
        <v>0.45</v>
      </c>
      <c r="P12" s="27" t="n">
        <v>6</v>
      </c>
      <c r="Q12" s="27" t="n">
        <v>9.7</v>
      </c>
      <c r="R12" s="27" t="n">
        <v>15.1</v>
      </c>
    </row>
    <row r="13" customFormat="false" ht="15" hidden="false" customHeight="false" outlineLevel="0" collapsed="false">
      <c r="A13" s="9" t="s">
        <v>63</v>
      </c>
      <c r="B13" s="12" t="s">
        <v>64</v>
      </c>
      <c r="C13" s="12" t="s">
        <v>46</v>
      </c>
      <c r="D13" s="28" t="n">
        <v>8.5</v>
      </c>
      <c r="E13" s="28" t="n">
        <v>15</v>
      </c>
      <c r="F13" s="29" t="n">
        <v>35000</v>
      </c>
      <c r="G13" s="29" t="n">
        <v>2100</v>
      </c>
      <c r="H13" s="29" t="n">
        <v>900</v>
      </c>
      <c r="I13" s="30" t="n">
        <v>0.02</v>
      </c>
      <c r="J13" s="30" t="n">
        <v>0.06</v>
      </c>
      <c r="K13" s="30" t="n">
        <v>0.026</v>
      </c>
      <c r="L13" s="30" t="n">
        <v>0.014</v>
      </c>
      <c r="M13" s="31" t="n">
        <v>3.1</v>
      </c>
      <c r="N13" s="30" t="n">
        <v>0.045</v>
      </c>
      <c r="O13" s="31" t="n">
        <v>0.43</v>
      </c>
      <c r="P13" s="31" t="n">
        <v>7.1</v>
      </c>
      <c r="Q13" s="31" t="n">
        <v>16.7</v>
      </c>
      <c r="R13" s="31" t="n">
        <v>17</v>
      </c>
    </row>
    <row r="14" customFormat="false" ht="15" hidden="false" customHeight="false" outlineLevel="0" collapsed="false">
      <c r="A14" s="22" t="s">
        <v>65</v>
      </c>
      <c r="B14" s="23" t="s">
        <v>66</v>
      </c>
      <c r="C14" s="23" t="s">
        <v>67</v>
      </c>
      <c r="D14" s="24" t="n">
        <v>5.2</v>
      </c>
      <c r="E14" s="24" t="n">
        <v>6.5</v>
      </c>
      <c r="F14" s="25" t="n">
        <v>11200</v>
      </c>
      <c r="G14" s="25" t="n">
        <v>700</v>
      </c>
      <c r="H14" s="25" t="n">
        <v>420</v>
      </c>
      <c r="I14" s="26" t="n">
        <v>0.025</v>
      </c>
      <c r="J14" s="26" t="n">
        <v>0.063</v>
      </c>
      <c r="K14" s="26" t="n">
        <v>0.038</v>
      </c>
      <c r="L14" s="26" t="n">
        <v>0.027</v>
      </c>
      <c r="M14" s="27" t="n">
        <v>0.6</v>
      </c>
      <c r="N14" s="26" t="n">
        <v>0.022</v>
      </c>
      <c r="O14" s="27" t="n">
        <v>0.58</v>
      </c>
      <c r="P14" s="27" t="n">
        <v>9.3</v>
      </c>
      <c r="Q14" s="27" t="n">
        <v>15.5</v>
      </c>
      <c r="R14" s="27" t="n">
        <v>17.3</v>
      </c>
    </row>
    <row r="15" customFormat="false" ht="15" hidden="false" customHeight="false" outlineLevel="0" collapsed="false">
      <c r="A15" s="9" t="s">
        <v>68</v>
      </c>
      <c r="B15" s="12" t="s">
        <v>69</v>
      </c>
      <c r="C15" s="12" t="s">
        <v>52</v>
      </c>
      <c r="D15" s="28" t="n">
        <v>4.2</v>
      </c>
      <c r="E15" s="28" t="n">
        <v>5.8</v>
      </c>
      <c r="F15" s="29" t="n">
        <v>5500</v>
      </c>
      <c r="G15" s="29" t="n">
        <v>620</v>
      </c>
      <c r="H15" s="29" t="n">
        <v>450</v>
      </c>
      <c r="I15" s="30" t="n">
        <v>0.05</v>
      </c>
      <c r="J15" s="30" t="n">
        <v>0.113</v>
      </c>
      <c r="K15" s="30" t="n">
        <v>0.082</v>
      </c>
      <c r="L15" s="30" t="n">
        <v>0.056</v>
      </c>
      <c r="M15" s="31" t="n">
        <v>1.2</v>
      </c>
      <c r="N15" s="30" t="n">
        <v>0.048</v>
      </c>
      <c r="O15" s="31" t="n">
        <v>1.05</v>
      </c>
      <c r="P15" s="31" t="n">
        <v>9.4</v>
      </c>
      <c r="Q15" s="31" t="n">
        <v>12.9</v>
      </c>
      <c r="R15" s="31" t="n">
        <v>13.5</v>
      </c>
    </row>
    <row r="16" customFormat="false" ht="15" hidden="false" customHeight="false" outlineLevel="0" collapsed="false">
      <c r="A16" s="22" t="s">
        <v>70</v>
      </c>
      <c r="B16" s="23" t="s">
        <v>71</v>
      </c>
      <c r="C16" s="23" t="s">
        <v>72</v>
      </c>
      <c r="D16" s="24" t="n">
        <v>2.1</v>
      </c>
      <c r="E16" s="24" t="n">
        <v>3</v>
      </c>
      <c r="F16" s="25" t="n">
        <v>6200</v>
      </c>
      <c r="G16" s="25" t="n">
        <v>520</v>
      </c>
      <c r="H16" s="25" t="n">
        <v>280</v>
      </c>
      <c r="I16" s="26" t="n">
        <v>0.015</v>
      </c>
      <c r="J16" s="26" t="n">
        <v>0.084</v>
      </c>
      <c r="K16" s="26" t="n">
        <v>0.045</v>
      </c>
      <c r="L16" s="26" t="n">
        <v>0.029</v>
      </c>
      <c r="M16" s="27" t="n">
        <v>0.8</v>
      </c>
      <c r="N16" s="26" t="n">
        <v>0.02</v>
      </c>
      <c r="O16" s="27" t="n">
        <v>0.48</v>
      </c>
      <c r="P16" s="27" t="n">
        <v>5.8</v>
      </c>
      <c r="Q16" s="27" t="n">
        <v>10.7</v>
      </c>
      <c r="R16" s="27" t="n">
        <v>11.7</v>
      </c>
    </row>
    <row r="17" customFormat="false" ht="15" hidden="false" customHeight="false" outlineLevel="0" collapsed="false">
      <c r="A17" s="32" t="s">
        <v>73</v>
      </c>
      <c r="B17" s="33" t="s">
        <v>74</v>
      </c>
      <c r="C17" s="33" t="s">
        <v>72</v>
      </c>
      <c r="D17" s="34" t="n">
        <v>5.8</v>
      </c>
      <c r="E17" s="34" t="n">
        <v>8.5</v>
      </c>
      <c r="F17" s="35" t="n">
        <v>13800</v>
      </c>
      <c r="G17" s="35" t="n">
        <v>1100</v>
      </c>
      <c r="H17" s="35" t="n">
        <v>600</v>
      </c>
      <c r="I17" s="36" t="n">
        <v>0.01</v>
      </c>
      <c r="J17" s="36" t="n">
        <v>0.08</v>
      </c>
      <c r="K17" s="36" t="n">
        <v>0.043</v>
      </c>
      <c r="L17" s="36" t="n">
        <v>0.028</v>
      </c>
      <c r="M17" s="37" t="n">
        <v>1.5</v>
      </c>
      <c r="N17" s="36" t="n">
        <v>0.04</v>
      </c>
      <c r="O17" s="37" t="n">
        <v>0.62</v>
      </c>
      <c r="P17" s="37" t="n">
        <v>7.7</v>
      </c>
      <c r="Q17" s="37" t="n">
        <v>14.2</v>
      </c>
      <c r="R17" s="37" t="n">
        <v>15.3</v>
      </c>
    </row>
    <row r="18" customFormat="false" ht="15" hidden="false" customHeight="false" outlineLevel="0" collapsed="false">
      <c r="A18" s="38" t="s">
        <v>75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customFormat="false" ht="15" hidden="false" customHeight="false" outlineLevel="0" collapsed="false">
      <c r="A19" s="7" t="s">
        <v>76</v>
      </c>
      <c r="O19" s="40" t="n">
        <v>0.635833333333333</v>
      </c>
      <c r="P19" s="40" t="n">
        <v>8.13333333333333</v>
      </c>
      <c r="Q19" s="40" t="n">
        <v>14.175</v>
      </c>
      <c r="R19" s="40" t="n">
        <v>15.1</v>
      </c>
    </row>
    <row r="20" customFormat="false" ht="15" hidden="false" customHeight="false" outlineLevel="0" collapsed="false">
      <c r="A20" s="7" t="s">
        <v>77</v>
      </c>
      <c r="O20" s="40" t="n">
        <v>0.57</v>
      </c>
      <c r="P20" s="40" t="n">
        <v>7.15</v>
      </c>
      <c r="Q20" s="40" t="n">
        <v>13.55</v>
      </c>
      <c r="R20" s="40" t="n">
        <v>14.7</v>
      </c>
    </row>
    <row r="21" customFormat="false" ht="15" hidden="false" customHeight="false" outlineLevel="0" collapsed="false">
      <c r="A21" s="9" t="s">
        <v>78</v>
      </c>
      <c r="O21" s="41" t="n">
        <v>0.48</v>
      </c>
      <c r="P21" s="41" t="n">
        <v>6.4</v>
      </c>
      <c r="Q21" s="41" t="n">
        <v>11</v>
      </c>
      <c r="R21" s="41" t="n">
        <v>13.5</v>
      </c>
    </row>
    <row r="22" customFormat="false" ht="15" hidden="false" customHeight="false" outlineLevel="0" collapsed="false">
      <c r="A22" s="9" t="s">
        <v>79</v>
      </c>
      <c r="O22" s="41" t="n">
        <v>0.92</v>
      </c>
      <c r="P22" s="41" t="n">
        <v>9.4</v>
      </c>
      <c r="Q22" s="41" t="n">
        <v>16.7</v>
      </c>
      <c r="R22" s="41" t="n">
        <v>17.3</v>
      </c>
    </row>
    <row r="23" customFormat="false" ht="15" hidden="false" customHeight="false" outlineLevel="0" collapsed="false">
      <c r="A23" s="9" t="s">
        <v>80</v>
      </c>
      <c r="O23" s="41" t="n">
        <v>0.29</v>
      </c>
      <c r="P23" s="41" t="n">
        <v>5.3</v>
      </c>
      <c r="Q23" s="41" t="n">
        <v>9.7</v>
      </c>
      <c r="R23" s="41" t="n">
        <v>10.4</v>
      </c>
    </row>
    <row r="24" customFormat="false" ht="15" hidden="false" customHeight="false" outlineLevel="0" collapsed="false">
      <c r="A24" s="42" t="s">
        <v>81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 t="n">
        <v>1.05</v>
      </c>
      <c r="P24" s="44" t="n">
        <v>14.1</v>
      </c>
      <c r="Q24" s="44" t="n">
        <v>22.4</v>
      </c>
      <c r="R24" s="44" t="n">
        <v>21.9</v>
      </c>
    </row>
    <row r="26" customFormat="false" ht="15" hidden="false" customHeight="false" outlineLevel="0" collapsed="false">
      <c r="A26" s="5" t="s">
        <v>82</v>
      </c>
      <c r="O26" s="45" t="n">
        <v>0.35</v>
      </c>
      <c r="P26" s="45" t="n">
        <v>2.95</v>
      </c>
      <c r="Q26" s="45" t="n">
        <v>4.05</v>
      </c>
      <c r="R26" s="45" t="n">
        <v>3.8</v>
      </c>
    </row>
    <row r="28" customFormat="false" ht="15" hidden="false" customHeight="false" outlineLevel="0" collapsed="false">
      <c r="A28" s="46" t="s">
        <v>83</v>
      </c>
    </row>
    <row r="29" customFormat="false" ht="15" hidden="false" customHeight="false" outlineLevel="0" collapsed="false">
      <c r="A29" s="4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4" t="s">
        <v>85</v>
      </c>
    </row>
    <row r="2" customFormat="false" ht="15" hidden="false" customHeight="false" outlineLevel="0" collapsed="false">
      <c r="A2" s="13" t="s">
        <v>21</v>
      </c>
    </row>
    <row r="4" customFormat="false" ht="22.35" hidden="false" customHeight="false" outlineLevel="0" collapsed="false">
      <c r="A4" s="14" t="s">
        <v>86</v>
      </c>
      <c r="B4" s="15" t="s">
        <v>87</v>
      </c>
      <c r="C4" s="15" t="s">
        <v>88</v>
      </c>
      <c r="D4" s="15" t="s">
        <v>89</v>
      </c>
      <c r="E4" s="15" t="s">
        <v>90</v>
      </c>
    </row>
    <row r="5" customFormat="false" ht="15" hidden="false" customHeight="false" outlineLevel="0" collapsed="false">
      <c r="A5" s="7" t="s">
        <v>76</v>
      </c>
      <c r="B5" s="40" t="n">
        <v>0.635833333333333</v>
      </c>
      <c r="C5" s="40" t="n">
        <v>8.13333333333333</v>
      </c>
      <c r="D5" s="40" t="n">
        <v>14.175</v>
      </c>
      <c r="E5" s="40" t="n">
        <v>15.1</v>
      </c>
    </row>
    <row r="6" customFormat="false" ht="15" hidden="false" customHeight="false" outlineLevel="0" collapsed="false">
      <c r="A6" s="7" t="s">
        <v>77</v>
      </c>
      <c r="B6" s="40" t="n">
        <v>0.57</v>
      </c>
      <c r="C6" s="40" t="n">
        <v>7.15</v>
      </c>
      <c r="D6" s="40" t="n">
        <v>13.55</v>
      </c>
      <c r="E6" s="40" t="n">
        <v>14.7</v>
      </c>
    </row>
    <row r="7" customFormat="false" ht="15" hidden="false" customHeight="false" outlineLevel="0" collapsed="false">
      <c r="A7" s="9" t="s">
        <v>78</v>
      </c>
      <c r="B7" s="41" t="n">
        <v>0.48</v>
      </c>
      <c r="C7" s="41" t="n">
        <v>6.4</v>
      </c>
      <c r="D7" s="41" t="n">
        <v>11</v>
      </c>
      <c r="E7" s="41" t="n">
        <v>13.5</v>
      </c>
    </row>
    <row r="8" customFormat="false" ht="15" hidden="false" customHeight="false" outlineLevel="0" collapsed="false">
      <c r="A8" s="9" t="s">
        <v>79</v>
      </c>
      <c r="B8" s="41" t="n">
        <v>0.92</v>
      </c>
      <c r="C8" s="41" t="n">
        <v>9.4</v>
      </c>
      <c r="D8" s="41" t="n">
        <v>16.7</v>
      </c>
      <c r="E8" s="41" t="n">
        <v>17.3</v>
      </c>
    </row>
    <row r="9" customFormat="false" ht="15" hidden="false" customHeight="false" outlineLevel="0" collapsed="false">
      <c r="A9" s="9" t="s">
        <v>80</v>
      </c>
      <c r="B9" s="41" t="n">
        <v>0.29</v>
      </c>
      <c r="C9" s="41" t="n">
        <v>5.3</v>
      </c>
      <c r="D9" s="41" t="n">
        <v>9.7</v>
      </c>
      <c r="E9" s="41" t="n">
        <v>10.4</v>
      </c>
    </row>
    <row r="10" customFormat="false" ht="15" hidden="false" customHeight="false" outlineLevel="0" collapsed="false">
      <c r="A10" s="32" t="s">
        <v>81</v>
      </c>
      <c r="B10" s="47" t="n">
        <v>1.05</v>
      </c>
      <c r="C10" s="47" t="n">
        <v>14.1</v>
      </c>
      <c r="D10" s="47" t="n">
        <v>22.4</v>
      </c>
      <c r="E10" s="47" t="n">
        <v>21.9</v>
      </c>
    </row>
    <row r="12" customFormat="false" ht="15" hidden="false" customHeight="false" outlineLevel="0" collapsed="false">
      <c r="A12" s="48" t="s">
        <v>91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3" customFormat="false" ht="15" hidden="false" customHeight="false" outlineLevel="0" collapsed="false">
      <c r="A13" s="50" t="s">
        <v>92</v>
      </c>
      <c r="B13" s="51" t="n">
        <v>0.92</v>
      </c>
      <c r="C13" s="51" t="n">
        <v>10.1</v>
      </c>
      <c r="D13" s="51" t="n">
        <v>17.6</v>
      </c>
      <c r="E13" s="51" t="n">
        <v>18.5</v>
      </c>
    </row>
    <row r="14" customFormat="false" ht="15" hidden="false" customHeight="false" outlineLevel="0" collapsed="false">
      <c r="A14" s="7" t="s">
        <v>93</v>
      </c>
      <c r="B14" s="52" t="n">
        <v>0.614035087719298</v>
      </c>
      <c r="C14" s="52" t="n">
        <v>0.412587412587413</v>
      </c>
      <c r="D14" s="52" t="n">
        <v>0.298892988929889</v>
      </c>
      <c r="E14" s="52" t="n">
        <v>0.258503401360544</v>
      </c>
    </row>
    <row r="16" customFormat="false" ht="15" hidden="false" customHeight="false" outlineLevel="0" collapsed="false">
      <c r="A16" s="7" t="s">
        <v>94</v>
      </c>
      <c r="B16" s="53" t="n">
        <v>0.75</v>
      </c>
      <c r="C16" s="53" t="n">
        <v>0.833333333333333</v>
      </c>
      <c r="D16" s="53" t="n">
        <v>0.916666666666667</v>
      </c>
      <c r="E16" s="53" t="n">
        <v>0.833333333333333</v>
      </c>
    </row>
    <row r="18" customFormat="false" ht="15" hidden="false" customHeight="false" outlineLevel="0" collapsed="false">
      <c r="A18" s="46" t="s">
        <v>83</v>
      </c>
    </row>
    <row r="19" customFormat="false" ht="15" hidden="false" customHeight="false" outlineLevel="0" collapsed="false">
      <c r="A19" s="4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4" t="s">
        <v>95</v>
      </c>
    </row>
    <row r="2" customFormat="false" ht="15" hidden="false" customHeight="false" outlineLevel="0" collapsed="false">
      <c r="A2" s="13" t="s">
        <v>21</v>
      </c>
    </row>
    <row r="4" customFormat="false" ht="22.35" hidden="false" customHeight="false" outlineLevel="0" collapsed="false">
      <c r="A4" s="14"/>
      <c r="B4" s="15" t="s">
        <v>96</v>
      </c>
      <c r="C4" s="15" t="s">
        <v>97</v>
      </c>
      <c r="D4" s="15" t="s">
        <v>77</v>
      </c>
      <c r="E4" s="15" t="s">
        <v>98</v>
      </c>
      <c r="F4" s="15" t="s">
        <v>76</v>
      </c>
      <c r="G4" s="15" t="s">
        <v>99</v>
      </c>
    </row>
    <row r="5" customFormat="false" ht="15" hidden="false" customHeight="false" outlineLevel="0" collapsed="false">
      <c r="A5" s="48" t="s">
        <v>100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customFormat="false" ht="15" hidden="false" customHeight="false" outlineLevel="0" collapsed="false">
      <c r="A6" s="9" t="s">
        <v>101</v>
      </c>
      <c r="B6" s="12" t="s">
        <v>102</v>
      </c>
      <c r="C6" s="41" t="n">
        <v>6.4</v>
      </c>
      <c r="D6" s="41" t="n">
        <v>7.15</v>
      </c>
      <c r="E6" s="41" t="n">
        <v>9.4</v>
      </c>
      <c r="F6" s="41" t="n">
        <v>8.13333333333333</v>
      </c>
      <c r="G6" s="54" t="n">
        <v>10.1</v>
      </c>
    </row>
    <row r="7" customFormat="false" ht="15" hidden="false" customHeight="false" outlineLevel="0" collapsed="false">
      <c r="A7" s="9" t="s">
        <v>103</v>
      </c>
      <c r="B7" s="12" t="s">
        <v>104</v>
      </c>
      <c r="C7" s="29" t="n">
        <v>1135</v>
      </c>
      <c r="D7" s="29" t="n">
        <v>1135</v>
      </c>
      <c r="E7" s="29" t="n">
        <v>1135</v>
      </c>
      <c r="F7" s="29" t="n">
        <v>1135</v>
      </c>
      <c r="G7" s="29" t="n">
        <v>1135</v>
      </c>
    </row>
    <row r="8" customFormat="false" ht="15" hidden="false" customHeight="false" outlineLevel="0" collapsed="false">
      <c r="A8" s="7" t="s">
        <v>105</v>
      </c>
      <c r="C8" s="55" t="n">
        <f aca="false">C6*C7</f>
        <v>7264</v>
      </c>
      <c r="D8" s="55" t="n">
        <f aca="false">D6*D7</f>
        <v>8115.25</v>
      </c>
      <c r="E8" s="55" t="n">
        <f aca="false">E6*E7</f>
        <v>10669</v>
      </c>
      <c r="F8" s="55" t="n">
        <f aca="false">F6*F7</f>
        <v>9231.33333333333</v>
      </c>
      <c r="G8" s="56" t="n">
        <f aca="false">G6*G7</f>
        <v>11463.5</v>
      </c>
    </row>
    <row r="9" customFormat="false" ht="15" hidden="false" customHeight="false" outlineLevel="0" collapsed="false">
      <c r="A9" s="9" t="s">
        <v>106</v>
      </c>
      <c r="C9" s="29" t="n">
        <v>-3508</v>
      </c>
      <c r="D9" s="29" t="n">
        <v>-3508</v>
      </c>
      <c r="E9" s="29" t="n">
        <v>-3508</v>
      </c>
      <c r="F9" s="29" t="n">
        <v>-3508</v>
      </c>
      <c r="G9" s="29" t="n">
        <v>-3508</v>
      </c>
    </row>
    <row r="10" customFormat="false" ht="15" hidden="false" customHeight="false" outlineLevel="0" collapsed="false">
      <c r="A10" s="7" t="s">
        <v>107</v>
      </c>
      <c r="C10" s="55" t="n">
        <f aca="false">C8+C9</f>
        <v>3756</v>
      </c>
      <c r="D10" s="55" t="n">
        <f aca="false">D8+D9</f>
        <v>4607.25</v>
      </c>
      <c r="E10" s="55" t="n">
        <f aca="false">E8+E9</f>
        <v>7161</v>
      </c>
      <c r="F10" s="55" t="n">
        <f aca="false">F8+F9</f>
        <v>5723.33333333333</v>
      </c>
      <c r="G10" s="55" t="n">
        <f aca="false">G8+G9</f>
        <v>7955.5</v>
      </c>
    </row>
    <row r="11" customFormat="false" ht="15" hidden="false" customHeight="false" outlineLevel="0" collapsed="false">
      <c r="A11" s="9" t="s">
        <v>108</v>
      </c>
      <c r="C11" s="57" t="n">
        <v>398</v>
      </c>
      <c r="D11" s="57" t="n">
        <v>398</v>
      </c>
      <c r="E11" s="57" t="n">
        <v>398</v>
      </c>
      <c r="F11" s="57" t="n">
        <v>398</v>
      </c>
      <c r="G11" s="57" t="n">
        <v>398</v>
      </c>
    </row>
    <row r="12" customFormat="false" ht="15" hidden="false" customHeight="false" outlineLevel="0" collapsed="false">
      <c r="A12" s="58" t="s">
        <v>109</v>
      </c>
      <c r="B12" s="43"/>
      <c r="C12" s="59" t="n">
        <f aca="false">C10/C11</f>
        <v>9.43718592964824</v>
      </c>
      <c r="D12" s="59" t="n">
        <f aca="false">D10/D11</f>
        <v>11.5760050251256</v>
      </c>
      <c r="E12" s="59" t="n">
        <f aca="false">E10/E11</f>
        <v>17.9924623115578</v>
      </c>
      <c r="F12" s="59" t="n">
        <f aca="false">F10/F11</f>
        <v>14.3802345058626</v>
      </c>
      <c r="G12" s="59" t="n">
        <f aca="false">G10/G11</f>
        <v>19.9886934673367</v>
      </c>
    </row>
    <row r="13" customFormat="false" ht="15" hidden="false" customHeight="false" outlineLevel="0" collapsed="false">
      <c r="A13" s="7" t="s">
        <v>110</v>
      </c>
      <c r="C13" s="52" t="n">
        <f aca="false">(C12/20.12-1)</f>
        <v>-0.530954973675535</v>
      </c>
      <c r="D13" s="52" t="n">
        <f aca="false">(D12/20.12-1)</f>
        <v>-0.424651837717414</v>
      </c>
      <c r="E13" s="52" t="n">
        <f aca="false">(E12/20.12-1)</f>
        <v>-0.105742429843052</v>
      </c>
      <c r="F13" s="52" t="n">
        <f aca="false">(F12/20.12-1)</f>
        <v>-0.285276615016767</v>
      </c>
      <c r="G13" s="52" t="n">
        <f aca="false">(G12/20.12-1)</f>
        <v>-0.00652616961547303</v>
      </c>
    </row>
    <row r="15" customFormat="false" ht="15" hidden="false" customHeight="false" outlineLevel="0" collapsed="false">
      <c r="A15" s="48" t="s">
        <v>111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</row>
    <row r="16" customFormat="false" ht="15" hidden="false" customHeight="false" outlineLevel="0" collapsed="false">
      <c r="A16" s="9" t="s">
        <v>101</v>
      </c>
      <c r="B16" s="12" t="s">
        <v>102</v>
      </c>
      <c r="C16" s="41" t="n">
        <v>13.5</v>
      </c>
      <c r="D16" s="41" t="n">
        <v>14.7</v>
      </c>
      <c r="E16" s="41" t="n">
        <v>17.3</v>
      </c>
      <c r="F16" s="41" t="n">
        <v>15.1</v>
      </c>
      <c r="G16" s="54" t="n">
        <v>18.5</v>
      </c>
    </row>
    <row r="17" customFormat="false" ht="15" hidden="false" customHeight="false" outlineLevel="0" collapsed="false">
      <c r="A17" s="9" t="s">
        <v>112</v>
      </c>
      <c r="B17" s="12" t="s">
        <v>113</v>
      </c>
      <c r="C17" s="60" t="n">
        <v>1.09</v>
      </c>
      <c r="D17" s="60" t="n">
        <v>1.09</v>
      </c>
      <c r="E17" s="60" t="n">
        <v>1.09</v>
      </c>
      <c r="F17" s="60" t="n">
        <v>1.09</v>
      </c>
      <c r="G17" s="60" t="n">
        <v>1.09</v>
      </c>
    </row>
    <row r="18" customFormat="false" ht="15" hidden="false" customHeight="false" outlineLevel="0" collapsed="false">
      <c r="A18" s="58" t="s">
        <v>109</v>
      </c>
      <c r="B18" s="43"/>
      <c r="C18" s="59" t="n">
        <f aca="false">C16*C17</f>
        <v>14.715</v>
      </c>
      <c r="D18" s="59" t="n">
        <f aca="false">D16*D17</f>
        <v>16.023</v>
      </c>
      <c r="E18" s="59" t="n">
        <f aca="false">E16*E17</f>
        <v>18.857</v>
      </c>
      <c r="F18" s="59" t="n">
        <f aca="false">F16*F17</f>
        <v>16.459</v>
      </c>
      <c r="G18" s="59" t="n">
        <f aca="false">G16*G17</f>
        <v>20.165</v>
      </c>
    </row>
    <row r="19" customFormat="false" ht="15" hidden="false" customHeight="false" outlineLevel="0" collapsed="false">
      <c r="A19" s="7" t="s">
        <v>110</v>
      </c>
      <c r="C19" s="52" t="n">
        <f aca="false">(C18/20.12-1)</f>
        <v>-0.268638170974155</v>
      </c>
      <c r="D19" s="52" t="n">
        <f aca="false">(D18/20.12-1)</f>
        <v>-0.203628230616302</v>
      </c>
      <c r="E19" s="52" t="n">
        <f aca="false">(E18/20.12-1)</f>
        <v>-0.0627733598409542</v>
      </c>
      <c r="F19" s="52" t="n">
        <f aca="false">(F18/20.12-1)</f>
        <v>-0.181958250497018</v>
      </c>
      <c r="G19" s="52" t="n">
        <f aca="false">(G18/20.12-1)</f>
        <v>0.00223658051689868</v>
      </c>
    </row>
    <row r="21" customFormat="false" ht="15" hidden="false" customHeight="false" outlineLevel="0" collapsed="false">
      <c r="A21" s="48" t="s">
        <v>114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customFormat="false" ht="15" hidden="false" customHeight="false" outlineLevel="0" collapsed="false">
      <c r="A22" s="9" t="s">
        <v>101</v>
      </c>
      <c r="B22" s="12" t="s">
        <v>102</v>
      </c>
      <c r="C22" s="41" t="n">
        <v>0.48</v>
      </c>
      <c r="D22" s="41" t="n">
        <v>0.57</v>
      </c>
      <c r="E22" s="41" t="n">
        <v>0.92</v>
      </c>
      <c r="F22" s="41" t="n">
        <v>0.635833333333333</v>
      </c>
      <c r="G22" s="54" t="n">
        <v>0.92</v>
      </c>
    </row>
    <row r="23" customFormat="false" ht="15" hidden="false" customHeight="false" outlineLevel="0" collapsed="false">
      <c r="A23" s="9" t="s">
        <v>115</v>
      </c>
      <c r="B23" s="12" t="s">
        <v>104</v>
      </c>
      <c r="C23" s="29" t="n">
        <v>12475</v>
      </c>
      <c r="D23" s="29" t="n">
        <v>12475</v>
      </c>
      <c r="E23" s="29" t="n">
        <v>12475</v>
      </c>
      <c r="F23" s="29" t="n">
        <v>12475</v>
      </c>
      <c r="G23" s="29" t="n">
        <v>12475</v>
      </c>
    </row>
    <row r="24" customFormat="false" ht="15" hidden="false" customHeight="false" outlineLevel="0" collapsed="false">
      <c r="A24" s="7" t="s">
        <v>105</v>
      </c>
      <c r="C24" s="55" t="n">
        <f aca="false">C22*C23</f>
        <v>5988</v>
      </c>
      <c r="D24" s="55" t="n">
        <f aca="false">D22*D23</f>
        <v>7110.75</v>
      </c>
      <c r="E24" s="55" t="n">
        <f aca="false">E22*E23</f>
        <v>11477</v>
      </c>
      <c r="F24" s="55" t="n">
        <f aca="false">F22*F23</f>
        <v>7932.02083333333</v>
      </c>
      <c r="G24" s="56" t="n">
        <f aca="false">G22*G23</f>
        <v>11477</v>
      </c>
    </row>
    <row r="25" customFormat="false" ht="15" hidden="false" customHeight="false" outlineLevel="0" collapsed="false">
      <c r="A25" s="9" t="s">
        <v>106</v>
      </c>
      <c r="C25" s="29" t="n">
        <v>-3508</v>
      </c>
      <c r="D25" s="29" t="n">
        <v>-3508</v>
      </c>
      <c r="E25" s="29" t="n">
        <v>-3508</v>
      </c>
      <c r="F25" s="29" t="n">
        <v>-3508</v>
      </c>
      <c r="G25" s="29" t="n">
        <v>-3508</v>
      </c>
    </row>
    <row r="26" customFormat="false" ht="15" hidden="false" customHeight="false" outlineLevel="0" collapsed="false">
      <c r="A26" s="7" t="s">
        <v>107</v>
      </c>
      <c r="C26" s="55" t="n">
        <f aca="false">C24+C25</f>
        <v>2480</v>
      </c>
      <c r="D26" s="55" t="n">
        <f aca="false">D24+D25</f>
        <v>3602.75</v>
      </c>
      <c r="E26" s="55" t="n">
        <f aca="false">E24+E25</f>
        <v>7969</v>
      </c>
      <c r="F26" s="55" t="n">
        <f aca="false">F24+F25</f>
        <v>4424.02083333333</v>
      </c>
      <c r="G26" s="55" t="n">
        <f aca="false">G24+G25</f>
        <v>7969</v>
      </c>
    </row>
    <row r="27" customFormat="false" ht="15" hidden="false" customHeight="false" outlineLevel="0" collapsed="false">
      <c r="A27" s="58" t="s">
        <v>109</v>
      </c>
      <c r="B27" s="43"/>
      <c r="C27" s="59" t="n">
        <f aca="false">C26/398</f>
        <v>6.23115577889447</v>
      </c>
      <c r="D27" s="59" t="n">
        <f aca="false">D26/398</f>
        <v>9.05213567839196</v>
      </c>
      <c r="E27" s="59" t="n">
        <f aca="false">E26/398</f>
        <v>20.0226130653266</v>
      </c>
      <c r="F27" s="59" t="n">
        <f aca="false">F26/398</f>
        <v>11.1156302345059</v>
      </c>
      <c r="G27" s="59" t="n">
        <f aca="false">G26/398</f>
        <v>20.0226130653266</v>
      </c>
    </row>
    <row r="29" customFormat="false" ht="15" hidden="false" customHeight="false" outlineLevel="0" collapsed="false">
      <c r="A29" s="38" t="s">
        <v>116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</row>
    <row r="30" customFormat="false" ht="15" hidden="false" customHeight="false" outlineLevel="0" collapsed="false">
      <c r="A30" s="61" t="s">
        <v>117</v>
      </c>
      <c r="C30" s="62" t="s">
        <v>118</v>
      </c>
      <c r="D30" s="62" t="s">
        <v>119</v>
      </c>
      <c r="E30" s="62" t="s">
        <v>120</v>
      </c>
    </row>
    <row r="31" customFormat="false" ht="15" hidden="false" customHeight="false" outlineLevel="0" collapsed="false">
      <c r="A31" s="7" t="s">
        <v>121</v>
      </c>
      <c r="C31" s="63" t="n">
        <f aca="false">C12</f>
        <v>9.43718592964824</v>
      </c>
      <c r="D31" s="63" t="n">
        <f aca="false">D12</f>
        <v>11.5760050251256</v>
      </c>
      <c r="E31" s="63" t="n">
        <f aca="false">E12</f>
        <v>17.9924623115578</v>
      </c>
    </row>
    <row r="32" customFormat="false" ht="15" hidden="false" customHeight="false" outlineLevel="0" collapsed="false">
      <c r="A32" s="7" t="s">
        <v>40</v>
      </c>
      <c r="C32" s="63" t="n">
        <f aca="false">C18</f>
        <v>14.715</v>
      </c>
      <c r="D32" s="63" t="n">
        <f aca="false">D18</f>
        <v>16.023</v>
      </c>
      <c r="E32" s="63" t="n">
        <f aca="false">E18</f>
        <v>18.857</v>
      </c>
    </row>
    <row r="33" customFormat="false" ht="15" hidden="false" customHeight="false" outlineLevel="0" collapsed="false">
      <c r="A33" s="64" t="s">
        <v>122</v>
      </c>
      <c r="B33" s="65"/>
      <c r="C33" s="66" t="n">
        <f aca="false">C27</f>
        <v>6.23115577889447</v>
      </c>
      <c r="D33" s="66" t="n">
        <f aca="false">D27</f>
        <v>9.05213567839196</v>
      </c>
      <c r="E33" s="66" t="n">
        <f aca="false">E27</f>
        <v>20.0226130653266</v>
      </c>
    </row>
    <row r="34" customFormat="false" ht="15" hidden="false" customHeight="false" outlineLevel="0" collapsed="false">
      <c r="A34" s="7" t="s">
        <v>123</v>
      </c>
      <c r="C34" s="60" t="n">
        <v>20.12</v>
      </c>
      <c r="D34" s="60" t="n">
        <v>20.12</v>
      </c>
      <c r="E34" s="60" t="n">
        <v>20.12</v>
      </c>
    </row>
    <row r="36" customFormat="false" ht="15" hidden="false" customHeight="false" outlineLevel="0" collapsed="false">
      <c r="A36" s="46" t="s">
        <v>83</v>
      </c>
    </row>
    <row r="37" customFormat="false" ht="15" hidden="false" customHeight="false" outlineLevel="0" collapsed="false">
      <c r="A37" s="4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4" t="s">
        <v>124</v>
      </c>
    </row>
    <row r="2" customFormat="false" ht="15" hidden="false" customHeight="false" outlineLevel="0" collapsed="false">
      <c r="A2" s="13" t="s">
        <v>21</v>
      </c>
    </row>
    <row r="4" customFormat="false" ht="22.35" hidden="false" customHeight="false" outlineLevel="0" collapsed="false">
      <c r="A4" s="14" t="s">
        <v>23</v>
      </c>
      <c r="B4" s="15" t="s">
        <v>125</v>
      </c>
      <c r="C4" s="15" t="s">
        <v>126</v>
      </c>
      <c r="D4" s="15" t="s">
        <v>127</v>
      </c>
      <c r="E4" s="15" t="s">
        <v>128</v>
      </c>
      <c r="F4" s="15" t="s">
        <v>129</v>
      </c>
      <c r="G4" s="15" t="s">
        <v>130</v>
      </c>
    </row>
    <row r="5" customFormat="false" ht="15" hidden="false" customHeight="false" outlineLevel="0" collapsed="false">
      <c r="A5" s="7" t="s">
        <v>44</v>
      </c>
      <c r="B5" s="67" t="s">
        <v>131</v>
      </c>
      <c r="C5" s="68" t="s">
        <v>132</v>
      </c>
      <c r="D5" s="68" t="s">
        <v>132</v>
      </c>
      <c r="E5" s="69" t="s">
        <v>133</v>
      </c>
      <c r="F5" s="69" t="s">
        <v>133</v>
      </c>
      <c r="G5" s="12" t="s">
        <v>134</v>
      </c>
    </row>
    <row r="6" customFormat="false" ht="15" hidden="false" customHeight="false" outlineLevel="0" collapsed="false">
      <c r="A6" s="7" t="s">
        <v>47</v>
      </c>
      <c r="B6" s="67" t="s">
        <v>131</v>
      </c>
      <c r="C6" s="68" t="s">
        <v>132</v>
      </c>
      <c r="D6" s="68" t="s">
        <v>132</v>
      </c>
      <c r="E6" s="68" t="s">
        <v>132</v>
      </c>
      <c r="F6" s="69" t="s">
        <v>133</v>
      </c>
      <c r="G6" s="12" t="s">
        <v>135</v>
      </c>
    </row>
    <row r="7" customFormat="false" ht="15" hidden="false" customHeight="false" outlineLevel="0" collapsed="false">
      <c r="A7" s="9" t="s">
        <v>50</v>
      </c>
      <c r="B7" s="38" t="s">
        <v>136</v>
      </c>
      <c r="C7" s="68" t="s">
        <v>132</v>
      </c>
      <c r="D7" s="69" t="s">
        <v>133</v>
      </c>
      <c r="E7" s="70" t="s">
        <v>137</v>
      </c>
      <c r="F7" s="68" t="s">
        <v>132</v>
      </c>
      <c r="G7" s="12" t="s">
        <v>138</v>
      </c>
    </row>
    <row r="8" customFormat="false" ht="15" hidden="false" customHeight="false" outlineLevel="0" collapsed="false">
      <c r="A8" s="9" t="s">
        <v>53</v>
      </c>
      <c r="B8" s="38" t="s">
        <v>136</v>
      </c>
      <c r="C8" s="69" t="s">
        <v>133</v>
      </c>
      <c r="D8" s="68" t="s">
        <v>132</v>
      </c>
      <c r="E8" s="70" t="s">
        <v>137</v>
      </c>
      <c r="F8" s="69" t="s">
        <v>133</v>
      </c>
      <c r="G8" s="12" t="s">
        <v>139</v>
      </c>
    </row>
    <row r="9" customFormat="false" ht="15" hidden="false" customHeight="false" outlineLevel="0" collapsed="false">
      <c r="A9" s="9" t="s">
        <v>55</v>
      </c>
      <c r="B9" s="38" t="s">
        <v>136</v>
      </c>
      <c r="C9" s="69" t="s">
        <v>133</v>
      </c>
      <c r="D9" s="68" t="s">
        <v>132</v>
      </c>
      <c r="E9" s="70" t="s">
        <v>137</v>
      </c>
      <c r="F9" s="69" t="s">
        <v>133</v>
      </c>
      <c r="G9" s="12" t="s">
        <v>140</v>
      </c>
    </row>
    <row r="10" customFormat="false" ht="15" hidden="false" customHeight="false" outlineLevel="0" collapsed="false">
      <c r="A10" s="9" t="s">
        <v>57</v>
      </c>
      <c r="B10" s="71" t="s">
        <v>141</v>
      </c>
      <c r="C10" s="70" t="s">
        <v>137</v>
      </c>
      <c r="D10" s="69" t="s">
        <v>133</v>
      </c>
      <c r="E10" s="70" t="s">
        <v>137</v>
      </c>
      <c r="F10" s="70" t="s">
        <v>137</v>
      </c>
      <c r="G10" s="12" t="s">
        <v>142</v>
      </c>
    </row>
    <row r="11" customFormat="false" ht="15" hidden="false" customHeight="false" outlineLevel="0" collapsed="false">
      <c r="A11" s="9" t="s">
        <v>60</v>
      </c>
      <c r="B11" s="71" t="s">
        <v>141</v>
      </c>
      <c r="C11" s="70" t="s">
        <v>137</v>
      </c>
      <c r="D11" s="69" t="s">
        <v>133</v>
      </c>
      <c r="E11" s="69" t="s">
        <v>133</v>
      </c>
      <c r="F11" s="69" t="s">
        <v>133</v>
      </c>
      <c r="G11" s="12" t="s">
        <v>143</v>
      </c>
    </row>
    <row r="12" customFormat="false" ht="15" hidden="false" customHeight="false" outlineLevel="0" collapsed="false">
      <c r="A12" s="9" t="s">
        <v>63</v>
      </c>
      <c r="B12" s="71" t="s">
        <v>141</v>
      </c>
      <c r="C12" s="70" t="s">
        <v>137</v>
      </c>
      <c r="D12" s="69" t="s">
        <v>133</v>
      </c>
      <c r="E12" s="69" t="s">
        <v>133</v>
      </c>
      <c r="F12" s="70" t="s">
        <v>137</v>
      </c>
      <c r="G12" s="12" t="s">
        <v>144</v>
      </c>
    </row>
    <row r="13" customFormat="false" ht="15" hidden="false" customHeight="false" outlineLevel="0" collapsed="false">
      <c r="A13" s="9" t="s">
        <v>65</v>
      </c>
      <c r="B13" s="71" t="s">
        <v>141</v>
      </c>
      <c r="C13" s="69" t="s">
        <v>133</v>
      </c>
      <c r="D13" s="69" t="s">
        <v>133</v>
      </c>
      <c r="E13" s="69" t="s">
        <v>133</v>
      </c>
      <c r="F13" s="69" t="s">
        <v>133</v>
      </c>
      <c r="G13" s="12" t="s">
        <v>145</v>
      </c>
    </row>
    <row r="14" customFormat="false" ht="15" hidden="false" customHeight="false" outlineLevel="0" collapsed="false">
      <c r="A14" s="9" t="s">
        <v>68</v>
      </c>
      <c r="B14" s="71" t="s">
        <v>141</v>
      </c>
      <c r="C14" s="70" t="s">
        <v>137</v>
      </c>
      <c r="D14" s="69" t="s">
        <v>133</v>
      </c>
      <c r="E14" s="70" t="s">
        <v>137</v>
      </c>
      <c r="F14" s="68" t="s">
        <v>132</v>
      </c>
      <c r="G14" s="12" t="s">
        <v>146</v>
      </c>
    </row>
    <row r="15" customFormat="false" ht="15" hidden="false" customHeight="false" outlineLevel="0" collapsed="false">
      <c r="A15" s="9" t="s">
        <v>70</v>
      </c>
      <c r="B15" s="71" t="s">
        <v>141</v>
      </c>
      <c r="C15" s="69" t="s">
        <v>133</v>
      </c>
      <c r="D15" s="69" t="s">
        <v>133</v>
      </c>
      <c r="E15" s="70" t="s">
        <v>137</v>
      </c>
      <c r="F15" s="69" t="s">
        <v>133</v>
      </c>
      <c r="G15" s="12" t="s">
        <v>147</v>
      </c>
    </row>
    <row r="16" customFormat="false" ht="15" hidden="false" customHeight="false" outlineLevel="0" collapsed="false">
      <c r="A16" s="32" t="s">
        <v>73</v>
      </c>
      <c r="B16" s="72" t="s">
        <v>141</v>
      </c>
      <c r="C16" s="73" t="s">
        <v>133</v>
      </c>
      <c r="D16" s="73" t="s">
        <v>133</v>
      </c>
      <c r="E16" s="73" t="s">
        <v>133</v>
      </c>
      <c r="F16" s="73" t="s">
        <v>133</v>
      </c>
      <c r="G16" s="33" t="s">
        <v>148</v>
      </c>
    </row>
    <row r="18" customFormat="false" ht="15" hidden="false" customHeight="false" outlineLevel="0" collapsed="false">
      <c r="A18" s="7" t="s">
        <v>149</v>
      </c>
    </row>
    <row r="19" customFormat="false" ht="15" hidden="false" customHeight="false" outlineLevel="0" collapsed="false">
      <c r="A19" s="12" t="s">
        <v>150</v>
      </c>
    </row>
    <row r="20" customFormat="false" ht="15" hidden="false" customHeight="false" outlineLevel="0" collapsed="false">
      <c r="A20" s="12" t="s">
        <v>151</v>
      </c>
    </row>
    <row r="21" customFormat="false" ht="15" hidden="false" customHeight="false" outlineLevel="0" collapsed="false">
      <c r="A21" s="12" t="s">
        <v>152</v>
      </c>
    </row>
    <row r="23" customFormat="false" ht="15" hidden="false" customHeight="false" outlineLevel="0" collapsed="false">
      <c r="A23" s="7" t="s">
        <v>153</v>
      </c>
    </row>
    <row r="25" customFormat="false" ht="15" hidden="false" customHeight="false" outlineLevel="0" collapsed="false">
      <c r="A25" s="46" t="s">
        <v>83</v>
      </c>
    </row>
    <row r="26" customFormat="false" ht="15" hidden="false" customHeight="false" outlineLevel="0" collapsed="false">
      <c r="A26" s="4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4" t="s">
        <v>154</v>
      </c>
    </row>
    <row r="2" customFormat="false" ht="15" hidden="false" customHeight="false" outlineLevel="0" collapsed="false">
      <c r="A2" s="13" t="s">
        <v>21</v>
      </c>
    </row>
    <row r="4" customFormat="false" ht="22.35" hidden="false" customHeight="false" outlineLevel="0" collapsed="false">
      <c r="A4" s="14" t="s">
        <v>155</v>
      </c>
      <c r="B4" s="15" t="s">
        <v>156</v>
      </c>
      <c r="C4" s="15" t="s">
        <v>157</v>
      </c>
      <c r="D4" s="15" t="s">
        <v>158</v>
      </c>
    </row>
    <row r="5" customFormat="false" ht="15" hidden="false" customHeight="false" outlineLevel="0" collapsed="false">
      <c r="A5" s="7" t="s">
        <v>159</v>
      </c>
      <c r="B5" s="74" t="s">
        <v>160</v>
      </c>
      <c r="C5" s="9" t="s">
        <v>161</v>
      </c>
      <c r="D5" s="75" t="s">
        <v>162</v>
      </c>
    </row>
    <row r="6" customFormat="false" ht="15" hidden="false" customHeight="false" outlineLevel="0" collapsed="false">
      <c r="A6" s="7" t="s">
        <v>163</v>
      </c>
      <c r="B6" s="74" t="s">
        <v>164</v>
      </c>
      <c r="C6" s="9" t="s">
        <v>165</v>
      </c>
      <c r="D6" s="75" t="s">
        <v>166</v>
      </c>
    </row>
    <row r="7" customFormat="false" ht="15" hidden="false" customHeight="false" outlineLevel="0" collapsed="false">
      <c r="A7" s="7" t="s">
        <v>167</v>
      </c>
      <c r="B7" s="74" t="s">
        <v>168</v>
      </c>
      <c r="C7" s="9" t="s">
        <v>169</v>
      </c>
      <c r="D7" s="75" t="s">
        <v>170</v>
      </c>
    </row>
    <row r="8" customFormat="false" ht="15" hidden="false" customHeight="false" outlineLevel="0" collapsed="false">
      <c r="A8" s="7" t="s">
        <v>171</v>
      </c>
      <c r="B8" s="74" t="s">
        <v>172</v>
      </c>
      <c r="C8" s="9" t="s">
        <v>173</v>
      </c>
      <c r="D8" s="75" t="s">
        <v>174</v>
      </c>
    </row>
    <row r="9" customFormat="false" ht="15" hidden="false" customHeight="false" outlineLevel="0" collapsed="false">
      <c r="A9" s="7" t="s">
        <v>175</v>
      </c>
      <c r="B9" s="74" t="s">
        <v>176</v>
      </c>
      <c r="C9" s="9" t="s">
        <v>177</v>
      </c>
      <c r="D9" s="75" t="s">
        <v>178</v>
      </c>
    </row>
    <row r="10" customFormat="false" ht="15" hidden="false" customHeight="false" outlineLevel="0" collapsed="false">
      <c r="A10" s="7" t="s">
        <v>179</v>
      </c>
      <c r="B10" s="74" t="s">
        <v>180</v>
      </c>
      <c r="C10" s="9" t="s">
        <v>181</v>
      </c>
      <c r="D10" s="75" t="s">
        <v>182</v>
      </c>
    </row>
    <row r="11" customFormat="false" ht="15" hidden="false" customHeight="false" outlineLevel="0" collapsed="false">
      <c r="A11" s="7" t="s">
        <v>183</v>
      </c>
      <c r="B11" s="74" t="s">
        <v>184</v>
      </c>
      <c r="C11" s="9" t="s">
        <v>185</v>
      </c>
      <c r="D11" s="76" t="s">
        <v>186</v>
      </c>
    </row>
    <row r="12" customFormat="false" ht="15" hidden="false" customHeight="false" outlineLevel="0" collapsed="false">
      <c r="A12" s="7" t="s">
        <v>187</v>
      </c>
      <c r="B12" s="74" t="s">
        <v>188</v>
      </c>
      <c r="C12" s="9" t="s">
        <v>189</v>
      </c>
      <c r="D12" s="76" t="s">
        <v>190</v>
      </c>
    </row>
    <row r="13" customFormat="false" ht="15" hidden="false" customHeight="false" outlineLevel="0" collapsed="false">
      <c r="A13" s="7" t="s">
        <v>191</v>
      </c>
      <c r="B13" s="74" t="s">
        <v>192</v>
      </c>
      <c r="C13" s="9" t="s">
        <v>193</v>
      </c>
      <c r="D13" s="76" t="s">
        <v>194</v>
      </c>
    </row>
    <row r="14" customFormat="false" ht="15" hidden="false" customHeight="false" outlineLevel="0" collapsed="false">
      <c r="A14" s="64" t="s">
        <v>195</v>
      </c>
      <c r="B14" s="77" t="s">
        <v>196</v>
      </c>
      <c r="C14" s="32" t="s">
        <v>177</v>
      </c>
      <c r="D14" s="78" t="s">
        <v>197</v>
      </c>
    </row>
    <row r="16" customFormat="false" ht="15" hidden="false" customHeight="false" outlineLevel="0" collapsed="false">
      <c r="A16" s="38" t="s">
        <v>198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customFormat="false" ht="15" hidden="false" customHeight="false" outlineLevel="0" collapsed="false">
      <c r="A17" s="7" t="s">
        <v>199</v>
      </c>
    </row>
    <row r="18" customFormat="false" ht="15" hidden="false" customHeight="false" outlineLevel="0" collapsed="false">
      <c r="A18" s="5" t="s">
        <v>200</v>
      </c>
    </row>
    <row r="19" customFormat="false" ht="15" hidden="false" customHeight="false" outlineLevel="0" collapsed="false">
      <c r="A19" s="9" t="s">
        <v>201</v>
      </c>
    </row>
    <row r="20" customFormat="false" ht="15" hidden="false" customHeight="false" outlineLevel="0" collapsed="false">
      <c r="A20" s="12" t="s">
        <v>202</v>
      </c>
    </row>
    <row r="22" customFormat="false" ht="15" hidden="false" customHeight="false" outlineLevel="0" collapsed="false">
      <c r="A22" s="46" t="s">
        <v>83</v>
      </c>
    </row>
    <row r="23" customFormat="false" ht="15" hidden="false" customHeight="false" outlineLevel="0" collapsed="false">
      <c r="A23" s="4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2026-03-15T16:54:53Z</dcterms:created>
  <dc:creator>openpyxl</dc:creator>
  <dc:description/>
  <dc:language>en-US</dc:language>
  <cp:lastModifiedBy/>
  <dcterms:modified xsi:type="dcterms:W3CDTF">2026-03-15T16:54:53Z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